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صفوفة التقارير" sheetId="1" state="visible" r:id="rId3"/>
    <sheet name="الأدوار" sheetId="2" state="visible" r:id="rId4"/>
    <sheet name="المؤشرات" sheetId="3" state="visible" r:id="rId5"/>
    <sheet name="الحقول" sheetId="4" state="visible" r:id="rId6"/>
  </sheets>
  <definedNames>
    <definedName function="false" hidden="true" localSheetId="0" name="_xlnm._FilterDatabase" vbProcedure="false">'مصفوفة التقارير'!$A$4:$N$23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<sst xmlns="http://schemas.openxmlformats.org/spreadsheetml/2006/main" count="418" uniqueCount="338">
  <si>
    <t xml:space="preserve">مصفوفة تقارير الصفقات في CRM حسب الدور: الموظف والمدير</t>
  </si>
  <si>
    <t xml:space="preserve">الهيكل: موظفون يرأسهم مدير واحد، دون إدارة عليا؛ لذلك تقارير مستوى الشركة (الإيراد حسب المنتج والقطاع، متوسط حجم الصفقة) عند المدير.
أساسي = يعتمد عليه الدور في عمله المعتاد  |  ثانوي = يطّلع عليه عند الحاجة  |  — = خارج نطاقه.  العمودان E وF قابلان للتغيير من القائمة المنسدلة، وتتحدث عدادات ورقة «الأدوار» تلقائياً. الحدود مثل 14 يوماً للركود و3 أضعاف للتغطية أعراف شائعة، عدّلها حسب دورة البيع لديكم.</t>
  </si>
  <si>
    <t xml:space="preserve">#</t>
  </si>
  <si>
    <t xml:space="preserve">التقرير</t>
  </si>
  <si>
    <t xml:space="preserve">الاسم الشائع (EN)</t>
  </si>
  <si>
    <t xml:space="preserve">الفئة</t>
  </si>
  <si>
    <t xml:space="preserve">الموظف</t>
  </si>
  <si>
    <t xml:space="preserve">المدير</t>
  </si>
  <si>
    <t xml:space="preserve">ما يراه الموظف</t>
  </si>
  <si>
    <t xml:space="preserve">ما يراه المدير</t>
  </si>
  <si>
    <t xml:space="preserve">السؤال الذي يجيب عنه</t>
  </si>
  <si>
    <t xml:space="preserve">المؤشرات (KPIs)</t>
  </si>
  <si>
    <t xml:space="preserve">الحقول المطلوبة</t>
  </si>
  <si>
    <t xml:space="preserve">التصفية والتجميع</t>
  </si>
  <si>
    <t xml:space="preserve">شكل العرض المقترح</t>
  </si>
  <si>
    <t xml:space="preserve">التكرار</t>
  </si>
  <si>
    <t xml:space="preserve">خط الأنابيب حسب المرحلة</t>
  </si>
  <si>
    <t xml:space="preserve">Pipeline by Stage</t>
  </si>
  <si>
    <t xml:space="preserve">خط الأنابيب</t>
  </si>
  <si>
    <t xml:space="preserve">أساسي</t>
  </si>
  <si>
    <t xml:space="preserve">صفقاتي المفتوحة موزعة على المراحل</t>
  </si>
  <si>
    <t xml:space="preserve">المراحل × كل موظف، مع إجمالي الفريق</t>
  </si>
  <si>
    <t xml:space="preserve">كم صفقة مفتوحة وما قيمتها في كل مرحلة؟</t>
  </si>
  <si>
    <t xml:space="preserve">عدد الصفقات، القيمة الإجمالية، القيمة المرجّحة</t>
  </si>
  <si>
    <t xml:space="preserve">المرحلة، القيمة، الاحتمالية، الحالة، المالك</t>
  </si>
  <si>
    <t xml:space="preserve">تصفية: الحالة = مفتوحة</t>
  </si>
  <si>
    <t xml:space="preserve">قمع أو أعمدة مكدسة</t>
  </si>
  <si>
    <t xml:space="preserve">يومي / أسبوعي</t>
  </si>
  <si>
    <t xml:space="preserve">الصفقات المتوقع إغلاقها خلال الفترة</t>
  </si>
  <si>
    <t xml:space="preserve">Deals Closing This Month / Quarter</t>
  </si>
  <si>
    <t xml:space="preserve">صفقاتي التي تُغلق هذا الشهر، مرتبة حسب التاريخ</t>
  </si>
  <si>
    <t xml:space="preserve">صفقات الفريق التي تُغلق في الفترة، مجمّعة حسب الموظف</t>
  </si>
  <si>
    <t xml:space="preserve">ما الصفقات التي يجب حسمها قبل نهاية الشهر أو الربع؟</t>
  </si>
  <si>
    <t xml:space="preserve">عدد وقيمة الصفقات، متوسط الاحتمالية</t>
  </si>
  <si>
    <t xml:space="preserve">تاريخ الإغلاق المتوقع، القيمة، المرحلة، الاحتمالية، المالك، الحالة</t>
  </si>
  <si>
    <t xml:space="preserve">تصفية: تاريخ الإغلاق المتوقع ضمن الفترة والحالة = مفتوحة</t>
  </si>
  <si>
    <t xml:space="preserve">جدول مرتب</t>
  </si>
  <si>
    <t xml:space="preserve">يومي</t>
  </si>
  <si>
    <t xml:space="preserve">الصفقات الراكدة والمتأخرة</t>
  </si>
  <si>
    <t xml:space="preserve">Stale / Overdue Deals</t>
  </si>
  <si>
    <t xml:space="preserve">صحة الصفقات</t>
  </si>
  <si>
    <t xml:space="preserve">صفقاتي التي تحتاج تحريكاً اليوم</t>
  </si>
  <si>
    <t xml:space="preserve">عدد الصفقات الراكدة وقيمتها لكل موظف</t>
  </si>
  <si>
    <t xml:space="preserve">ما الصفقات التي توقفت أو تجاوزت موعد إغلاقها؟</t>
  </si>
  <si>
    <t xml:space="preserve">أيام منذ آخر نشاط، أيام التأخير، قيمة الصفقات المعرّضة</t>
  </si>
  <si>
    <t xml:space="preserve">تاريخ آخر نشاط، تاريخ الإغلاق المتوقع، المرحلة، القيمة، المالك، الحالة</t>
  </si>
  <si>
    <t xml:space="preserve">تصفية: آخر نشاط أقدم من حدّ معيّن (مثلاً 14 يوماً) أو تاريخ الإغلاق المتوقع قبل اليوم</t>
  </si>
  <si>
    <t xml:space="preserve">جدول بتنبيهات لونية</t>
  </si>
  <si>
    <t xml:space="preserve">مهامي ومتابعاتي</t>
  </si>
  <si>
    <t xml:space="preserve">My Activities &amp; Follow-ups</t>
  </si>
  <si>
    <t xml:space="preserve">النشاط</t>
  </si>
  <si>
    <t xml:space="preserve">—</t>
  </si>
  <si>
    <t xml:space="preserve">مكالماتي واجتماعاتي ومهامي المستحقة والمتأخرة</t>
  </si>
  <si>
    <t xml:space="preserve">ما المطلوب مني اليوم، وما المتأخر؟</t>
  </si>
  <si>
    <t xml:space="preserve">عدد المهام المستحقة والمتأخرة</t>
  </si>
  <si>
    <t xml:space="preserve">الأنشطة، المالك، تاريخ آخر نشاط</t>
  </si>
  <si>
    <t xml:space="preserve">تصفية: تاريخ الاستحقاق ≤ اليوم</t>
  </si>
  <si>
    <t xml:space="preserve">قائمة مهام</t>
  </si>
  <si>
    <t xml:space="preserve">الصفقات المكسوبة والخاسرة</t>
  </si>
  <si>
    <t xml:space="preserve">Won vs Lost Deals</t>
  </si>
  <si>
    <t xml:space="preserve">النتائج</t>
  </si>
  <si>
    <t xml:space="preserve">نتائج صفقاتي خلال الفترة</t>
  </si>
  <si>
    <t xml:space="preserve">نتائج كل موظف، وإجمالي الفريق</t>
  </si>
  <si>
    <t xml:space="preserve">ماذا أُغلق خلال الفترة وبأي نتيجة؟</t>
  </si>
  <si>
    <t xml:space="preserve">عدد وقيمة المكسوب والخاسر</t>
  </si>
  <si>
    <t xml:space="preserve">الحالة، القيمة، تاريخ الإغلاق الفعلي، المالك، سبب الخسارة</t>
  </si>
  <si>
    <t xml:space="preserve">تجميع: الحالة × الفترة</t>
  </si>
  <si>
    <t xml:space="preserve">أعمدة متجاورة</t>
  </si>
  <si>
    <t xml:space="preserve">أسبوعي / شهري</t>
  </si>
  <si>
    <t xml:space="preserve">الإنجاز مقابل الهدف</t>
  </si>
  <si>
    <t xml:space="preserve">Quota Attainment / Revenue vs Target</t>
  </si>
  <si>
    <t xml:space="preserve">الأداء</t>
  </si>
  <si>
    <t xml:space="preserve">إنجازي مقابل هدفي، والمتبقي</t>
  </si>
  <si>
    <t xml:space="preserve">ترتيب الموظفين حسب الإنجاز، وإيراد الفريق التراكمي مقابل هدف الفريق</t>
  </si>
  <si>
    <t xml:space="preserve">كم حققنا من الهدف وكم تبقّى؟</t>
  </si>
  <si>
    <t xml:space="preserve">نسبة الإنجاز، المتبقي من الهدف، الترتيب</t>
  </si>
  <si>
    <t xml:space="preserve">القيمة، الحالة، تاريخ الإغلاق الفعلي، المالك، الهدف</t>
  </si>
  <si>
    <t xml:space="preserve">تجميع: الموظف × الشهر</t>
  </si>
  <si>
    <t xml:space="preserve">مقياس، وخط تراكمي مقابل خط الهدف</t>
  </si>
  <si>
    <t xml:space="preserve">أسبوعي</t>
  </si>
  <si>
    <t xml:space="preserve">توقعات المبيعات</t>
  </si>
  <si>
    <t xml:space="preserve">Sales Forecast</t>
  </si>
  <si>
    <t xml:space="preserve">التوقعات</t>
  </si>
  <si>
    <t xml:space="preserve">تصنيف صفقاتي إلى مؤكد ومحتمل</t>
  </si>
  <si>
    <t xml:space="preserve">توقع الفريق مجمّعاً، وتوقع كل موظف مقابل هدفه</t>
  </si>
  <si>
    <t xml:space="preserve">كم سنغلق حتى نهاية الفترة؟</t>
  </si>
  <si>
    <t xml:space="preserve">المؤكد (Commit)، المحتمل (Best Case)، القيمة المرجّحة</t>
  </si>
  <si>
    <t xml:space="preserve">فئة التوقع، القيمة، الاحتمالية، تاريخ الإغلاق المتوقع، المالك</t>
  </si>
  <si>
    <t xml:space="preserve">تجميع: فئة التوقع</t>
  </si>
  <si>
    <t xml:space="preserve">أعمدة مكدسة مع خط الهدف</t>
  </si>
  <si>
    <t xml:space="preserve">تغطية خط الأنابيب</t>
  </si>
  <si>
    <t xml:space="preserve">Pipeline Coverage</t>
  </si>
  <si>
    <t xml:space="preserve">ثانوي</t>
  </si>
  <si>
    <t xml:space="preserve">تغطيتي مقابل هدفي المتبقي</t>
  </si>
  <si>
    <t xml:space="preserve">التغطية لكل موظف وللفريق</t>
  </si>
  <si>
    <t xml:space="preserve">هل الصفقات المفتوحة كافية لتحقيق الهدف المتبقي؟</t>
  </si>
  <si>
    <t xml:space="preserve">نسبة التغطية (المعيار الشائع 3 أضعاف)</t>
  </si>
  <si>
    <t xml:space="preserve">القيمة، الحالة، تاريخ الإغلاق المتوقع، المالك، الهدف</t>
  </si>
  <si>
    <t xml:space="preserve">تصفية: الصفقات المفتوحة التي تُغلق ضمن الفترة</t>
  </si>
  <si>
    <t xml:space="preserve">رقم مؤشر ملوّن</t>
  </si>
  <si>
    <t xml:space="preserve">التحويل بين المراحل</t>
  </si>
  <si>
    <t xml:space="preserve">Stage Conversion / Funnel</t>
  </si>
  <si>
    <t xml:space="preserve">التحويل</t>
  </si>
  <si>
    <t xml:space="preserve">قمع صفقاتي</t>
  </si>
  <si>
    <t xml:space="preserve">قمع الفريق، ومقارنة نسب كل موظف بمتوسط الفريق</t>
  </si>
  <si>
    <t xml:space="preserve">في أي مرحلة تتسرّب الصفقات؟</t>
  </si>
  <si>
    <t xml:space="preserve">نسبة الانتقال من كل مرحلة إلى التي تليها</t>
  </si>
  <si>
    <t xml:space="preserve">سجل المراحل، المرحلة، المالك</t>
  </si>
  <si>
    <t xml:space="preserve">تجميع: المرحلة × الفترة</t>
  </si>
  <si>
    <t xml:space="preserve">قمع</t>
  </si>
  <si>
    <t xml:space="preserve">شهري</t>
  </si>
  <si>
    <t xml:space="preserve">نسبة الفوز</t>
  </si>
  <si>
    <t xml:space="preserve">Win Rate</t>
  </si>
  <si>
    <t xml:space="preserve">نسبة فوزي</t>
  </si>
  <si>
    <t xml:space="preserve">نسبة الفوز لكل موظف ومنتج ومصدر</t>
  </si>
  <si>
    <t xml:space="preserve">من أي موظف أو منتج أو مصدر نكسب أكثر؟</t>
  </si>
  <si>
    <t xml:space="preserve">نسبة الفوز بالعدد وبالقيمة</t>
  </si>
  <si>
    <t xml:space="preserve">الحالة، القيمة، المالك، المنتج، مصدر العميل</t>
  </si>
  <si>
    <t xml:space="preserve">تجميع: الموظف أو المنتج أو مصدر العميل</t>
  </si>
  <si>
    <t xml:space="preserve">أعمدة أفقية</t>
  </si>
  <si>
    <t xml:space="preserve">شهري / ربعي</t>
  </si>
  <si>
    <t xml:space="preserve">دورة البيع والبقاء في المراحل</t>
  </si>
  <si>
    <t xml:space="preserve">Sales Cycle / Time in Stage</t>
  </si>
  <si>
    <t xml:space="preserve">السرعة</t>
  </si>
  <si>
    <t xml:space="preserve">متوسط الدورة وأيام كل مرحلة لكل موظف</t>
  </si>
  <si>
    <t xml:space="preserve">كم تستغرق الصفقة حتى تُغلق، وأين تتأخر؟</t>
  </si>
  <si>
    <t xml:space="preserve">متوسط أيام الدورة، متوسط أيام كل مرحلة</t>
  </si>
  <si>
    <t xml:space="preserve">تاريخ الإنشاء، تاريخ الإغلاق الفعلي، سجل المراحل، المالك</t>
  </si>
  <si>
    <t xml:space="preserve">تجميع: المرحلة × الموظف</t>
  </si>
  <si>
    <t xml:space="preserve">أعمدة أو خريطة حرارية</t>
  </si>
  <si>
    <t xml:space="preserve">تحليل أسباب الخسارة</t>
  </si>
  <si>
    <t xml:space="preserve">Lost Reasons &amp; Competitors</t>
  </si>
  <si>
    <t xml:space="preserve">أسباب خسارة صفقاتي</t>
  </si>
  <si>
    <t xml:space="preserve">الأسباب والمنافسون على مستوى الفريق ولكل موظف</t>
  </si>
  <si>
    <t xml:space="preserve">لماذا نخسر، ولصالح من؟</t>
  </si>
  <si>
    <t xml:space="preserve">عدد وقيمة الخسارة لكل سبب ومنافس</t>
  </si>
  <si>
    <t xml:space="preserve">الحالة، سبب الخسارة، المنافس، المرحلة، القيمة، المالك</t>
  </si>
  <si>
    <t xml:space="preserve">تصفية: الحالة = خاسرة | تجميع: السبب أو المنافس</t>
  </si>
  <si>
    <t xml:space="preserve">أعمدة مرتبة</t>
  </si>
  <si>
    <t xml:space="preserve">حركة خط الأنابيب</t>
  </si>
  <si>
    <t xml:space="preserve">Pipeline Changes / Waterfall</t>
  </si>
  <si>
    <t xml:space="preserve">ما تغيّر في صفقات الفريق منذ الأسبوع الماضي، حسب الموظف</t>
  </si>
  <si>
    <t xml:space="preserve">ما الذي تقدّم أو تراجع أو تأجّل؟</t>
  </si>
  <si>
    <t xml:space="preserve">جديدة، متقدمة، متراجعة، مؤجلة، مغلقة</t>
  </si>
  <si>
    <t xml:space="preserve">سجل التغييرات، المرحلة، القيمة، تاريخ الإغلاق المتوقع، المالك</t>
  </si>
  <si>
    <t xml:space="preserve">مقارنة لقطتين زمنيتين</t>
  </si>
  <si>
    <t xml:space="preserve">مخطط شلالي</t>
  </si>
  <si>
    <t xml:space="preserve">نشاط الفريق</t>
  </si>
  <si>
    <t xml:space="preserve">Activity by Employee</t>
  </si>
  <si>
    <t xml:space="preserve">عدد المكالمات والاجتماعات والمهام لكل موظف مقابل نتائجه</t>
  </si>
  <si>
    <t xml:space="preserve">هل حجم نشاط كل موظف يتناسب مع نتائجه؟</t>
  </si>
  <si>
    <t xml:space="preserve">عدد الأنشطة حسب النوع لكل موظف</t>
  </si>
  <si>
    <t xml:space="preserve">الأنشطة، المالك</t>
  </si>
  <si>
    <t xml:space="preserve">تجميع: نوع النشاط × الموظف</t>
  </si>
  <si>
    <t xml:space="preserve">أعمدة مكدسة</t>
  </si>
  <si>
    <t xml:space="preserve">الصفقات الجديدة حسب المصدر</t>
  </si>
  <si>
    <t xml:space="preserve">Pipeline Generation by Source</t>
  </si>
  <si>
    <t xml:space="preserve">صفقاتي الجديدة ومن أين جاءت</t>
  </si>
  <si>
    <t xml:space="preserve">الصفقات الجديدة لكل موظف ومصدر</t>
  </si>
  <si>
    <t xml:space="preserve">كم صفقة جديدة أُنشئت، ومن أين جاءت؟</t>
  </si>
  <si>
    <t xml:space="preserve">عدد وقيمة الصفقات الجديدة</t>
  </si>
  <si>
    <t xml:space="preserve">تاريخ الإنشاء، مصدر العميل، القيمة، المالك</t>
  </si>
  <si>
    <t xml:space="preserve">تجميع: المصدر × الفترة</t>
  </si>
  <si>
    <t xml:space="preserve">أعمدة أو خط زمني</t>
  </si>
  <si>
    <t xml:space="preserve">جودة البيانات</t>
  </si>
  <si>
    <t xml:space="preserve">CRM Data Hygiene</t>
  </si>
  <si>
    <t xml:space="preserve">سجلاتي الناقصة لأكملها</t>
  </si>
  <si>
    <t xml:space="preserve">عدد السجلات الناقصة لكل موظف</t>
  </si>
  <si>
    <t xml:space="preserve">ما الصفقات الناقصة أو غير المحدّثة التي تُفسد التقارير؟</t>
  </si>
  <si>
    <t xml:space="preserve">نسبة الصفقات المكتملة، عدد السجلات الناقصة</t>
  </si>
  <si>
    <t xml:space="preserve">القيمة، تاريخ الإغلاق المتوقع، المرحلة، تاريخ آخر نشاط، المالك</t>
  </si>
  <si>
    <t xml:space="preserve">تصفية: قيمة فارغة، أو تاريخ إغلاق فارغ أو ماضٍ، أو مرحلة بلا تحديث</t>
  </si>
  <si>
    <t xml:space="preserve">جدول استثناءات</t>
  </si>
  <si>
    <t xml:space="preserve">الإيراد حسب المنتج والقطاع والمنطقة</t>
  </si>
  <si>
    <t xml:space="preserve">Revenue by Product / Segment / Region</t>
  </si>
  <si>
    <t xml:space="preserve">الإيرادات</t>
  </si>
  <si>
    <t xml:space="preserve">ما المنتجات والقطاعات والمناطق التي تقود الإيراد</t>
  </si>
  <si>
    <t xml:space="preserve">من أين يأتي الإيراد؟</t>
  </si>
  <si>
    <t xml:space="preserve">الإيراد، الحصة من الإجمالي، النمو</t>
  </si>
  <si>
    <t xml:space="preserve">القيمة، الحالة، المنطقة، المنتج، القطاع</t>
  </si>
  <si>
    <t xml:space="preserve">تجميع: المنتج أو القطاع أو المنطقة</t>
  </si>
  <si>
    <t xml:space="preserve">أعمدة أو خريطة شجرية</t>
  </si>
  <si>
    <t xml:space="preserve">متوسط حجم الصفقة</t>
  </si>
  <si>
    <t xml:space="preserve">Average Deal Size Trend</t>
  </si>
  <si>
    <t xml:space="preserve">اتجاه متوسط الصفقة المكسوبة للفريق ولكل موظف</t>
  </si>
  <si>
    <t xml:space="preserve">هل صفقاتنا تكبر أم تصغر؟</t>
  </si>
  <si>
    <t xml:space="preserve">متوسط قيمة الصفقة المكسوبة</t>
  </si>
  <si>
    <t xml:space="preserve">القيمة، الحالة، تاريخ الإغلاق الفعلي، المنتج، المالك</t>
  </si>
  <si>
    <t xml:space="preserve">تجميع: الشهر أو الربع</t>
  </si>
  <si>
    <t xml:space="preserve">خط زمني</t>
  </si>
  <si>
    <t xml:space="preserve">بطاقة أداء الموظف</t>
  </si>
  <si>
    <t xml:space="preserve">Employee Scorecard</t>
  </si>
  <si>
    <t xml:space="preserve">بطاقتي: إنجازي ونسبة فوزي وتغطيتي ونشاطي</t>
  </si>
  <si>
    <t xml:space="preserve">بطاقة لكل موظف مقابل متوسط الفريق، للاجتماع الفردي</t>
  </si>
  <si>
    <t xml:space="preserve">كيف يؤدي كل موظف مقارنة بالفريق، وأين يحتاج دعماً؟</t>
  </si>
  <si>
    <t xml:space="preserve">الإنجاز، نسبة الفوز، التغطية، دورة البيع، عدد الأنشطة</t>
  </si>
  <si>
    <t xml:space="preserve">المالك، القيمة، الحالة، الهدف، تاريخ الإنشاء، تاريخ الإغلاق الفعلي، الأنشطة</t>
  </si>
  <si>
    <t xml:space="preserve">تجميع: الموظف</t>
  </si>
  <si>
    <t xml:space="preserve">بطاقات مؤشرات</t>
  </si>
  <si>
    <t xml:space="preserve">الأدوار ونطاق الرؤية والصلاحيات</t>
  </si>
  <si>
    <t xml:space="preserve">يُبنى كل تقرير مرة واحدة؛ الموظف يراه مفلتراً على صفقاته، والمدير يراه لكل الفريق مجمّعاً حسب الموظف. أعمدة العدد تُحسب تلقائياً من ورقة «مصفوفة التقارير».</t>
  </si>
  <si>
    <t xml:space="preserve">الدور</t>
  </si>
  <si>
    <t xml:space="preserve">المسمى الشائع</t>
  </si>
  <si>
    <t xml:space="preserve">نطاق الرؤية</t>
  </si>
  <si>
    <t xml:space="preserve">الفلتر الافتراضي</t>
  </si>
  <si>
    <t xml:space="preserve">الصلاحيات المقترحة</t>
  </si>
  <si>
    <t xml:space="preserve">السؤال الأساسي</t>
  </si>
  <si>
    <t xml:space="preserve">دورية المراجعة</t>
  </si>
  <si>
    <t xml:space="preserve">تقارير أساسية</t>
  </si>
  <si>
    <t xml:space="preserve">تقارير ثانوية</t>
  </si>
  <si>
    <t xml:space="preserve">الإجمالي</t>
  </si>
  <si>
    <t xml:space="preserve">Sales Rep / Account Manager</t>
  </si>
  <si>
    <t xml:space="preserve">الصفقات التي يملكها فقط</t>
  </si>
  <si>
    <t xml:space="preserve">مالك الصفقة = أنا</t>
  </si>
  <si>
    <t xml:space="preserve">ينشئ صفقاته ويحدّثها؛ لا يرى صفقات زملائه؛ لا يغيّر الأهداف</t>
  </si>
  <si>
    <t xml:space="preserve">ماذا أفعل اليوم لأغلق صفقاتي وأحقق هدفي؟</t>
  </si>
  <si>
    <t xml:space="preserve">Sales Manager</t>
  </si>
  <si>
    <t xml:space="preserve">كل صفقات الفريق، وهي كل صفقات الشركة في هذا الهيكل</t>
  </si>
  <si>
    <t xml:space="preserve">بلا قيود، مع تجميع حسب الموظف</t>
  </si>
  <si>
    <t xml:space="preserve">يرى ويعدّل كل الصفقات؛ يعيد إسنادها بين الموظفين؛ يضع الأهداف؛ يصدّر التقارير</t>
  </si>
  <si>
    <t xml:space="preserve">هل سيحقق الفريق هدفه، ومن يحتاج دعماً، وأين الفرص والمخاطر؟</t>
  </si>
  <si>
    <t xml:space="preserve">أسبوعي، ومراجعة شهرية وربعية</t>
  </si>
  <si>
    <t xml:space="preserve">تعريف المؤشرات ومعادلاتها</t>
  </si>
  <si>
    <t xml:space="preserve">الأرقام في عمود «يُستخدم في» تشير إلى رقم التقرير في ورقة «مصفوفة التقارير».</t>
  </si>
  <si>
    <t xml:space="preserve">المؤشر</t>
  </si>
  <si>
    <t xml:space="preserve">التعريف</t>
  </si>
  <si>
    <t xml:space="preserve">المعادلة</t>
  </si>
  <si>
    <t xml:space="preserve">يُستخدم في</t>
  </si>
  <si>
    <t xml:space="preserve">القيمة المرجّحة (Weighted Pipeline)</t>
  </si>
  <si>
    <t xml:space="preserve">قيمة الصفقات المفتوحة بعد ضربها في احتمالية الإغلاق</t>
  </si>
  <si>
    <t xml:space="preserve">مجموع (القيمة × الاحتمالية) للصفقات المفتوحة</t>
  </si>
  <si>
    <t xml:space="preserve">1، 7</t>
  </si>
  <si>
    <t xml:space="preserve">نسبة الإنجاز (Quota Attainment)</t>
  </si>
  <si>
    <t xml:space="preserve">ما تحقق من الهدف خلال الفترة</t>
  </si>
  <si>
    <t xml:space="preserve">قيمة المكسوب في الفترة ÷ الهدف</t>
  </si>
  <si>
    <t xml:space="preserve">6، 19</t>
  </si>
  <si>
    <t xml:space="preserve">تغطية خط الأنابيب (Pipeline Coverage)</t>
  </si>
  <si>
    <t xml:space="preserve">مدى كفاية الصفقات المفتوحة للهدف المتبقي</t>
  </si>
  <si>
    <t xml:space="preserve">قيمة الصفقات المفتوحة التي تُغلق في الفترة ÷ (الهدف − المكسوب)</t>
  </si>
  <si>
    <t xml:space="preserve">8، 19</t>
  </si>
  <si>
    <t xml:space="preserve">نسبة الفوز (Win Rate)</t>
  </si>
  <si>
    <t xml:space="preserve">نسبة الصفقات المكسوبة من الصفقات المحسومة</t>
  </si>
  <si>
    <t xml:space="preserve">عدد المكسوب ÷ (المكسوب + الخاسر)</t>
  </si>
  <si>
    <t xml:space="preserve">10، 19</t>
  </si>
  <si>
    <t xml:space="preserve">نسبة التحويل بين المراحل</t>
  </si>
  <si>
    <t xml:space="preserve">نسبة الصفقات التي تنتقل من مرحلة إلى التي تليها</t>
  </si>
  <si>
    <t xml:space="preserve">عدد الصفقات التي بلغت المرحلة التالية ÷ عدد الصفقات التي دخلت المرحلة</t>
  </si>
  <si>
    <t xml:space="preserve">9</t>
  </si>
  <si>
    <t xml:space="preserve">مدة دورة البيع (Sales Cycle)</t>
  </si>
  <si>
    <t xml:space="preserve">متوسط المدة من إنشاء الصفقة حتى إغلاقها</t>
  </si>
  <si>
    <t xml:space="preserve">متوسط (تاريخ الإغلاق الفعلي − تاريخ الإنشاء) للصفقات المكسوبة</t>
  </si>
  <si>
    <t xml:space="preserve">11، 19</t>
  </si>
  <si>
    <t xml:space="preserve">متوسط حجم الصفقة (Avg Deal Size)</t>
  </si>
  <si>
    <t xml:space="preserve">قيمة المكسوب ÷ عدد المكسوب</t>
  </si>
  <si>
    <t xml:space="preserve">18</t>
  </si>
  <si>
    <t xml:space="preserve">نسبة التأجيل (Slippage)</t>
  </si>
  <si>
    <t xml:space="preserve">الصفقات التي أُجّل موعد إغلاقها</t>
  </si>
  <si>
    <t xml:space="preserve">عدد الصفقات المؤجلة ÷ الصفقات المتوقع إغلاقها في الفترة</t>
  </si>
  <si>
    <t xml:space="preserve">13</t>
  </si>
  <si>
    <t xml:space="preserve">أيام منذ آخر نشاط</t>
  </si>
  <si>
    <t xml:space="preserve">مؤشر ركود الصفقة</t>
  </si>
  <si>
    <t xml:space="preserve">تاريخ اليوم − تاريخ آخر نشاط</t>
  </si>
  <si>
    <t xml:space="preserve">3، 16</t>
  </si>
  <si>
    <t xml:space="preserve">نسبة اكتمال البيانات</t>
  </si>
  <si>
    <t xml:space="preserve">جودة سجلات الصفقات</t>
  </si>
  <si>
    <t xml:space="preserve">الصفقات المكتملة الحقول الإلزامية ÷ إجمالي الصفقات المفتوحة</t>
  </si>
  <si>
    <t xml:space="preserve">16</t>
  </si>
  <si>
    <t xml:space="preserve">قاموس الحقول المطلوبة في سجل الصفقة</t>
  </si>
  <si>
    <t xml:space="preserve">عمود «عدد التقارير» يُحسب تلقائياً بالبحث عن اسم الحقل في عمود «الحقول المطلوبة» بورقة «مصفوفة التقارير». لا حاجة لحقل «الفريق» لأن الهيكل فريق واحد.</t>
  </si>
  <si>
    <t xml:space="preserve">الحقل</t>
  </si>
  <si>
    <t xml:space="preserve">المقابل الإنجليزي</t>
  </si>
  <si>
    <t xml:space="preserve">النوع</t>
  </si>
  <si>
    <t xml:space="preserve">ملاحظة</t>
  </si>
  <si>
    <t xml:space="preserve">عدد التقارير</t>
  </si>
  <si>
    <t xml:space="preserve">المالك</t>
  </si>
  <si>
    <t xml:space="preserve">Owner</t>
  </si>
  <si>
    <t xml:space="preserve">مستخدم</t>
  </si>
  <si>
    <t xml:space="preserve">أساس فصل ما يراه الموظف عمّا يراه المدير</t>
  </si>
  <si>
    <t xml:space="preserve">القيمة</t>
  </si>
  <si>
    <t xml:space="preserve">Amount</t>
  </si>
  <si>
    <t xml:space="preserve">رقم (عملة)</t>
  </si>
  <si>
    <t xml:space="preserve">إلزامي للصفقات المفتوحة</t>
  </si>
  <si>
    <t xml:space="preserve">الحالة</t>
  </si>
  <si>
    <t xml:space="preserve">Status</t>
  </si>
  <si>
    <t xml:space="preserve">قائمة</t>
  </si>
  <si>
    <t xml:space="preserve">مفتوحة / مكسوبة / خاسرة</t>
  </si>
  <si>
    <t xml:space="preserve">المرحلة</t>
  </si>
  <si>
    <t xml:space="preserve">Stage</t>
  </si>
  <si>
    <t xml:space="preserve">مراحل ثابتة ومتفق عليها</t>
  </si>
  <si>
    <t xml:space="preserve">تاريخ الإغلاق المتوقع</t>
  </si>
  <si>
    <t xml:space="preserve">Expected Close Date</t>
  </si>
  <si>
    <t xml:space="preserve">تاريخ</t>
  </si>
  <si>
    <t xml:space="preserve">تاريخ الإغلاق الفعلي</t>
  </si>
  <si>
    <t xml:space="preserve">Actual Close Date</t>
  </si>
  <si>
    <t xml:space="preserve">يُسجَّل عند الكسب أو الخسارة</t>
  </si>
  <si>
    <t xml:space="preserve">الاحتمالية</t>
  </si>
  <si>
    <t xml:space="preserve">Probability</t>
  </si>
  <si>
    <t xml:space="preserve">نسبة</t>
  </si>
  <si>
    <t xml:space="preserve">غالباً تُربط بالمرحلة تلقائياً</t>
  </si>
  <si>
    <t xml:space="preserve">تاريخ آخر نشاط</t>
  </si>
  <si>
    <t xml:space="preserve">Last Activity Date</t>
  </si>
  <si>
    <t xml:space="preserve">يُحدَّث تلقائياً من الأنشطة</t>
  </si>
  <si>
    <t xml:space="preserve">تاريخ الإنشاء</t>
  </si>
  <si>
    <t xml:space="preserve">Created Date</t>
  </si>
  <si>
    <t xml:space="preserve">تلقائي</t>
  </si>
  <si>
    <t xml:space="preserve">فئة التوقع</t>
  </si>
  <si>
    <t xml:space="preserve">Forecast Category</t>
  </si>
  <si>
    <t xml:space="preserve">مؤكد / محتمل / خط أنابيب / مستبعد</t>
  </si>
  <si>
    <t xml:space="preserve">مصدر العميل</t>
  </si>
  <si>
    <t xml:space="preserve">Lead Source</t>
  </si>
  <si>
    <t xml:space="preserve">موقع، إحالة، معرض، حملة...</t>
  </si>
  <si>
    <t xml:space="preserve">المنتج</t>
  </si>
  <si>
    <t xml:space="preserve">Product</t>
  </si>
  <si>
    <t xml:space="preserve">قائمة أو سجل مرتبط</t>
  </si>
  <si>
    <t xml:space="preserve">سبب الخسارة</t>
  </si>
  <si>
    <t xml:space="preserve">Lost Reason</t>
  </si>
  <si>
    <t xml:space="preserve">إلزامي عند تحويل الصفقة إلى خاسرة</t>
  </si>
  <si>
    <t xml:space="preserve">المنافس</t>
  </si>
  <si>
    <t xml:space="preserve">Competitor</t>
  </si>
  <si>
    <t xml:space="preserve">المنطقة</t>
  </si>
  <si>
    <t xml:space="preserve">Region</t>
  </si>
  <si>
    <t xml:space="preserve">القطاع</t>
  </si>
  <si>
    <t xml:space="preserve">Industry / Segment</t>
  </si>
  <si>
    <t xml:space="preserve">الهدف</t>
  </si>
  <si>
    <t xml:space="preserve">Quota / Target</t>
  </si>
  <si>
    <t xml:space="preserve">جدول مستقل</t>
  </si>
  <si>
    <t xml:space="preserve">لكل موظف ولكل فترة؛ هدف الفريق = مجموع أهداف الموظفين</t>
  </si>
  <si>
    <t xml:space="preserve">الأنشطة</t>
  </si>
  <si>
    <t xml:space="preserve">Activities</t>
  </si>
  <si>
    <t xml:space="preserve">سجل مرتبط</t>
  </si>
  <si>
    <t xml:space="preserve">مكالمات واجتماعات ومهام مرتبطة بالصفقة</t>
  </si>
  <si>
    <t xml:space="preserve">سجل المراحل</t>
  </si>
  <si>
    <t xml:space="preserve">Stage History</t>
  </si>
  <si>
    <t xml:space="preserve">سجل تلقائي</t>
  </si>
  <si>
    <t xml:space="preserve">تتيحه أغلب الأنظمة؛ في نظام مبني داخلياً يلزم جدول تاريخ للمراحل</t>
  </si>
  <si>
    <t xml:space="preserve">سجل التغييرات</t>
  </si>
  <si>
    <t xml:space="preserve">Field History</t>
  </si>
  <si>
    <t xml:space="preserve">لتتبع تغيّر القيمة وتاريخ الإغلاق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</si>
</sst>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3F6F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808080"/>
      </font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A"/>
      <rgbColor rgb="FFEDEDED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8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30"/>
    <col collapsed="false" customWidth="true" hidden="false" outlineLevel="0" max="8" min="8" style="0" width="36"/>
    <col collapsed="false" customWidth="true" hidden="false" outlineLevel="0" max="9" min="9" style="0" width="34"/>
    <col collapsed="false" customWidth="true" hidden="false" outlineLevel="0" max="10" min="10" style="0" width="32"/>
    <col collapsed="false" customWidth="true" hidden="false" outlineLevel="0" max="11" min="11" style="0" width="40"/>
    <col collapsed="false" customWidth="true" hidden="false" outlineLevel="0" max="12" min="12" style="0" width="34"/>
    <col collapsed="false" customWidth="true" hidden="false" outlineLevel="0" max="13" min="13" style="0" width="20"/>
    <col collapsed="false" customWidth="true" hidden="false" outlineLevel="0" max="14" min="14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5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57.75" hidden="false" customHeight="true" outlineLevel="0" collapsed="false">
      <c r="A5" s="4" t="n">
        <v>1</v>
      </c>
      <c r="B5" s="5" t="s">
        <v>16</v>
      </c>
      <c r="C5" s="6" t="s">
        <v>17</v>
      </c>
      <c r="D5" s="4" t="s">
        <v>18</v>
      </c>
      <c r="E5" s="4" t="s">
        <v>19</v>
      </c>
      <c r="F5" s="4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4" t="s">
        <v>27</v>
      </c>
    </row>
    <row r="6" customFormat="false" ht="57.75" hidden="false" customHeight="true" outlineLevel="0" collapsed="false">
      <c r="A6" s="8" t="n">
        <v>2</v>
      </c>
      <c r="B6" s="9" t="s">
        <v>28</v>
      </c>
      <c r="C6" s="10" t="s">
        <v>29</v>
      </c>
      <c r="D6" s="8" t="s">
        <v>18</v>
      </c>
      <c r="E6" s="8" t="s">
        <v>19</v>
      </c>
      <c r="F6" s="8" t="s">
        <v>19</v>
      </c>
      <c r="G6" s="11" t="s">
        <v>30</v>
      </c>
      <c r="H6" s="11" t="s">
        <v>31</v>
      </c>
      <c r="I6" s="11" t="s">
        <v>32</v>
      </c>
      <c r="J6" s="11" t="s">
        <v>33</v>
      </c>
      <c r="K6" s="11" t="s">
        <v>34</v>
      </c>
      <c r="L6" s="11" t="s">
        <v>35</v>
      </c>
      <c r="M6" s="11" t="s">
        <v>36</v>
      </c>
      <c r="N6" s="8" t="s">
        <v>37</v>
      </c>
    </row>
    <row r="7" customFormat="false" ht="57.75" hidden="false" customHeight="true" outlineLevel="0" collapsed="false">
      <c r="A7" s="4" t="n">
        <v>3</v>
      </c>
      <c r="B7" s="5" t="s">
        <v>38</v>
      </c>
      <c r="C7" s="6" t="s">
        <v>39</v>
      </c>
      <c r="D7" s="4" t="s">
        <v>40</v>
      </c>
      <c r="E7" s="4" t="s">
        <v>19</v>
      </c>
      <c r="F7" s="4" t="s">
        <v>19</v>
      </c>
      <c r="G7" s="7" t="s">
        <v>41</v>
      </c>
      <c r="H7" s="7" t="s">
        <v>42</v>
      </c>
      <c r="I7" s="7" t="s">
        <v>43</v>
      </c>
      <c r="J7" s="7" t="s">
        <v>44</v>
      </c>
      <c r="K7" s="7" t="s">
        <v>45</v>
      </c>
      <c r="L7" s="7" t="s">
        <v>46</v>
      </c>
      <c r="M7" s="7" t="s">
        <v>47</v>
      </c>
      <c r="N7" s="4" t="s">
        <v>37</v>
      </c>
    </row>
    <row r="8" customFormat="false" ht="57.75" hidden="false" customHeight="true" outlineLevel="0" collapsed="false">
      <c r="A8" s="8" t="n">
        <v>4</v>
      </c>
      <c r="B8" s="9" t="s">
        <v>48</v>
      </c>
      <c r="C8" s="10" t="s">
        <v>49</v>
      </c>
      <c r="D8" s="8" t="s">
        <v>50</v>
      </c>
      <c r="E8" s="8" t="s">
        <v>19</v>
      </c>
      <c r="F8" s="8" t="s">
        <v>51</v>
      </c>
      <c r="G8" s="11" t="s">
        <v>52</v>
      </c>
      <c r="H8" s="12" t="s">
        <v>51</v>
      </c>
      <c r="I8" s="11" t="s">
        <v>53</v>
      </c>
      <c r="J8" s="11" t="s">
        <v>54</v>
      </c>
      <c r="K8" s="11" t="s">
        <v>55</v>
      </c>
      <c r="L8" s="11" t="s">
        <v>56</v>
      </c>
      <c r="M8" s="11" t="s">
        <v>57</v>
      </c>
      <c r="N8" s="8" t="s">
        <v>37</v>
      </c>
    </row>
    <row r="9" customFormat="false" ht="57.75" hidden="false" customHeight="true" outlineLevel="0" collapsed="false">
      <c r="A9" s="4" t="n">
        <v>5</v>
      </c>
      <c r="B9" s="5" t="s">
        <v>58</v>
      </c>
      <c r="C9" s="6" t="s">
        <v>59</v>
      </c>
      <c r="D9" s="4" t="s">
        <v>60</v>
      </c>
      <c r="E9" s="4" t="s">
        <v>19</v>
      </c>
      <c r="F9" s="4" t="s">
        <v>19</v>
      </c>
      <c r="G9" s="7" t="s">
        <v>61</v>
      </c>
      <c r="H9" s="7" t="s">
        <v>62</v>
      </c>
      <c r="I9" s="7" t="s">
        <v>63</v>
      </c>
      <c r="J9" s="7" t="s">
        <v>64</v>
      </c>
      <c r="K9" s="7" t="s">
        <v>65</v>
      </c>
      <c r="L9" s="7" t="s">
        <v>66</v>
      </c>
      <c r="M9" s="7" t="s">
        <v>67</v>
      </c>
      <c r="N9" s="4" t="s">
        <v>68</v>
      </c>
    </row>
    <row r="10" customFormat="false" ht="57.75" hidden="false" customHeight="true" outlineLevel="0" collapsed="false">
      <c r="A10" s="8" t="n">
        <v>6</v>
      </c>
      <c r="B10" s="9" t="s">
        <v>69</v>
      </c>
      <c r="C10" s="10" t="s">
        <v>70</v>
      </c>
      <c r="D10" s="8" t="s">
        <v>71</v>
      </c>
      <c r="E10" s="8" t="s">
        <v>19</v>
      </c>
      <c r="F10" s="8" t="s">
        <v>19</v>
      </c>
      <c r="G10" s="11" t="s">
        <v>72</v>
      </c>
      <c r="H10" s="11" t="s">
        <v>73</v>
      </c>
      <c r="I10" s="11" t="s">
        <v>74</v>
      </c>
      <c r="J10" s="11" t="s">
        <v>75</v>
      </c>
      <c r="K10" s="11" t="s">
        <v>76</v>
      </c>
      <c r="L10" s="11" t="s">
        <v>77</v>
      </c>
      <c r="M10" s="11" t="s">
        <v>78</v>
      </c>
      <c r="N10" s="8" t="s">
        <v>79</v>
      </c>
    </row>
    <row r="11" customFormat="false" ht="57.75" hidden="false" customHeight="true" outlineLevel="0" collapsed="false">
      <c r="A11" s="4" t="n">
        <v>7</v>
      </c>
      <c r="B11" s="5" t="s">
        <v>80</v>
      </c>
      <c r="C11" s="6" t="s">
        <v>81</v>
      </c>
      <c r="D11" s="4" t="s">
        <v>82</v>
      </c>
      <c r="E11" s="4" t="s">
        <v>19</v>
      </c>
      <c r="F11" s="4" t="s">
        <v>19</v>
      </c>
      <c r="G11" s="7" t="s">
        <v>83</v>
      </c>
      <c r="H11" s="7" t="s">
        <v>84</v>
      </c>
      <c r="I11" s="7" t="s">
        <v>85</v>
      </c>
      <c r="J11" s="7" t="s">
        <v>86</v>
      </c>
      <c r="K11" s="7" t="s">
        <v>87</v>
      </c>
      <c r="L11" s="7" t="s">
        <v>88</v>
      </c>
      <c r="M11" s="7" t="s">
        <v>89</v>
      </c>
      <c r="N11" s="4" t="s">
        <v>79</v>
      </c>
    </row>
    <row r="12" customFormat="false" ht="57.75" hidden="false" customHeight="true" outlineLevel="0" collapsed="false">
      <c r="A12" s="8" t="n">
        <v>8</v>
      </c>
      <c r="B12" s="9" t="s">
        <v>90</v>
      </c>
      <c r="C12" s="10" t="s">
        <v>91</v>
      </c>
      <c r="D12" s="8" t="s">
        <v>82</v>
      </c>
      <c r="E12" s="8" t="s">
        <v>92</v>
      </c>
      <c r="F12" s="8" t="s">
        <v>19</v>
      </c>
      <c r="G12" s="11" t="s">
        <v>93</v>
      </c>
      <c r="H12" s="11" t="s">
        <v>94</v>
      </c>
      <c r="I12" s="11" t="s">
        <v>95</v>
      </c>
      <c r="J12" s="11" t="s">
        <v>96</v>
      </c>
      <c r="K12" s="11" t="s">
        <v>97</v>
      </c>
      <c r="L12" s="11" t="s">
        <v>98</v>
      </c>
      <c r="M12" s="11" t="s">
        <v>99</v>
      </c>
      <c r="N12" s="8" t="s">
        <v>68</v>
      </c>
    </row>
    <row r="13" customFormat="false" ht="57.75" hidden="false" customHeight="true" outlineLevel="0" collapsed="false">
      <c r="A13" s="4" t="n">
        <v>9</v>
      </c>
      <c r="B13" s="5" t="s">
        <v>100</v>
      </c>
      <c r="C13" s="6" t="s">
        <v>101</v>
      </c>
      <c r="D13" s="4" t="s">
        <v>102</v>
      </c>
      <c r="E13" s="4" t="s">
        <v>92</v>
      </c>
      <c r="F13" s="4" t="s">
        <v>19</v>
      </c>
      <c r="G13" s="7" t="s">
        <v>103</v>
      </c>
      <c r="H13" s="7" t="s">
        <v>104</v>
      </c>
      <c r="I13" s="7" t="s">
        <v>105</v>
      </c>
      <c r="J13" s="7" t="s">
        <v>106</v>
      </c>
      <c r="K13" s="7" t="s">
        <v>107</v>
      </c>
      <c r="L13" s="7" t="s">
        <v>108</v>
      </c>
      <c r="M13" s="7" t="s">
        <v>109</v>
      </c>
      <c r="N13" s="4" t="s">
        <v>110</v>
      </c>
    </row>
    <row r="14" customFormat="false" ht="57.75" hidden="false" customHeight="true" outlineLevel="0" collapsed="false">
      <c r="A14" s="8" t="n">
        <v>10</v>
      </c>
      <c r="B14" s="9" t="s">
        <v>111</v>
      </c>
      <c r="C14" s="10" t="s">
        <v>112</v>
      </c>
      <c r="D14" s="8" t="s">
        <v>102</v>
      </c>
      <c r="E14" s="8" t="s">
        <v>92</v>
      </c>
      <c r="F14" s="8" t="s">
        <v>19</v>
      </c>
      <c r="G14" s="11" t="s">
        <v>113</v>
      </c>
      <c r="H14" s="11" t="s">
        <v>114</v>
      </c>
      <c r="I14" s="11" t="s">
        <v>115</v>
      </c>
      <c r="J14" s="11" t="s">
        <v>116</v>
      </c>
      <c r="K14" s="11" t="s">
        <v>117</v>
      </c>
      <c r="L14" s="11" t="s">
        <v>118</v>
      </c>
      <c r="M14" s="11" t="s">
        <v>119</v>
      </c>
      <c r="N14" s="8" t="s">
        <v>120</v>
      </c>
    </row>
    <row r="15" customFormat="false" ht="57.75" hidden="false" customHeight="true" outlineLevel="0" collapsed="false">
      <c r="A15" s="4" t="n">
        <v>11</v>
      </c>
      <c r="B15" s="5" t="s">
        <v>121</v>
      </c>
      <c r="C15" s="6" t="s">
        <v>122</v>
      </c>
      <c r="D15" s="4" t="s">
        <v>123</v>
      </c>
      <c r="E15" s="4" t="s">
        <v>51</v>
      </c>
      <c r="F15" s="4" t="s">
        <v>19</v>
      </c>
      <c r="G15" s="13" t="s">
        <v>51</v>
      </c>
      <c r="H15" s="7" t="s">
        <v>124</v>
      </c>
      <c r="I15" s="7" t="s">
        <v>125</v>
      </c>
      <c r="J15" s="7" t="s">
        <v>126</v>
      </c>
      <c r="K15" s="7" t="s">
        <v>127</v>
      </c>
      <c r="L15" s="7" t="s">
        <v>128</v>
      </c>
      <c r="M15" s="7" t="s">
        <v>129</v>
      </c>
      <c r="N15" s="4" t="s">
        <v>120</v>
      </c>
    </row>
    <row r="16" customFormat="false" ht="57.75" hidden="false" customHeight="true" outlineLevel="0" collapsed="false">
      <c r="A16" s="8" t="n">
        <v>12</v>
      </c>
      <c r="B16" s="9" t="s">
        <v>130</v>
      </c>
      <c r="C16" s="10" t="s">
        <v>131</v>
      </c>
      <c r="D16" s="8" t="s">
        <v>60</v>
      </c>
      <c r="E16" s="8" t="s">
        <v>92</v>
      </c>
      <c r="F16" s="8" t="s">
        <v>19</v>
      </c>
      <c r="G16" s="11" t="s">
        <v>132</v>
      </c>
      <c r="H16" s="11" t="s">
        <v>133</v>
      </c>
      <c r="I16" s="11" t="s">
        <v>134</v>
      </c>
      <c r="J16" s="11" t="s">
        <v>135</v>
      </c>
      <c r="K16" s="11" t="s">
        <v>136</v>
      </c>
      <c r="L16" s="11" t="s">
        <v>137</v>
      </c>
      <c r="M16" s="11" t="s">
        <v>138</v>
      </c>
      <c r="N16" s="8" t="s">
        <v>110</v>
      </c>
    </row>
    <row r="17" customFormat="false" ht="57.75" hidden="false" customHeight="true" outlineLevel="0" collapsed="false">
      <c r="A17" s="4" t="n">
        <v>13</v>
      </c>
      <c r="B17" s="5" t="s">
        <v>139</v>
      </c>
      <c r="C17" s="6" t="s">
        <v>140</v>
      </c>
      <c r="D17" s="4" t="s">
        <v>18</v>
      </c>
      <c r="E17" s="4" t="s">
        <v>51</v>
      </c>
      <c r="F17" s="4" t="s">
        <v>19</v>
      </c>
      <c r="G17" s="13" t="s">
        <v>51</v>
      </c>
      <c r="H17" s="7" t="s">
        <v>141</v>
      </c>
      <c r="I17" s="7" t="s">
        <v>142</v>
      </c>
      <c r="J17" s="7" t="s">
        <v>143</v>
      </c>
      <c r="K17" s="7" t="s">
        <v>144</v>
      </c>
      <c r="L17" s="7" t="s">
        <v>145</v>
      </c>
      <c r="M17" s="7" t="s">
        <v>146</v>
      </c>
      <c r="N17" s="4" t="s">
        <v>79</v>
      </c>
    </row>
    <row r="18" customFormat="false" ht="57.75" hidden="false" customHeight="true" outlineLevel="0" collapsed="false">
      <c r="A18" s="8" t="n">
        <v>14</v>
      </c>
      <c r="B18" s="9" t="s">
        <v>147</v>
      </c>
      <c r="C18" s="10" t="s">
        <v>148</v>
      </c>
      <c r="D18" s="8" t="s">
        <v>50</v>
      </c>
      <c r="E18" s="8" t="s">
        <v>51</v>
      </c>
      <c r="F18" s="8" t="s">
        <v>19</v>
      </c>
      <c r="G18" s="12" t="s">
        <v>51</v>
      </c>
      <c r="H18" s="11" t="s">
        <v>149</v>
      </c>
      <c r="I18" s="11" t="s">
        <v>150</v>
      </c>
      <c r="J18" s="11" t="s">
        <v>151</v>
      </c>
      <c r="K18" s="11" t="s">
        <v>152</v>
      </c>
      <c r="L18" s="11" t="s">
        <v>153</v>
      </c>
      <c r="M18" s="11" t="s">
        <v>154</v>
      </c>
      <c r="N18" s="8" t="s">
        <v>79</v>
      </c>
    </row>
    <row r="19" customFormat="false" ht="57.75" hidden="false" customHeight="true" outlineLevel="0" collapsed="false">
      <c r="A19" s="4" t="n">
        <v>15</v>
      </c>
      <c r="B19" s="5" t="s">
        <v>155</v>
      </c>
      <c r="C19" s="6" t="s">
        <v>156</v>
      </c>
      <c r="D19" s="4" t="s">
        <v>18</v>
      </c>
      <c r="E19" s="4" t="s">
        <v>92</v>
      </c>
      <c r="F19" s="4" t="s">
        <v>19</v>
      </c>
      <c r="G19" s="7" t="s">
        <v>157</v>
      </c>
      <c r="H19" s="7" t="s">
        <v>158</v>
      </c>
      <c r="I19" s="7" t="s">
        <v>159</v>
      </c>
      <c r="J19" s="7" t="s">
        <v>160</v>
      </c>
      <c r="K19" s="7" t="s">
        <v>161</v>
      </c>
      <c r="L19" s="7" t="s">
        <v>162</v>
      </c>
      <c r="M19" s="7" t="s">
        <v>163</v>
      </c>
      <c r="N19" s="4" t="s">
        <v>68</v>
      </c>
    </row>
    <row r="20" customFormat="false" ht="57.75" hidden="false" customHeight="true" outlineLevel="0" collapsed="false">
      <c r="A20" s="8" t="n">
        <v>16</v>
      </c>
      <c r="B20" s="9" t="s">
        <v>164</v>
      </c>
      <c r="C20" s="10" t="s">
        <v>165</v>
      </c>
      <c r="D20" s="8" t="s">
        <v>164</v>
      </c>
      <c r="E20" s="8" t="s">
        <v>92</v>
      </c>
      <c r="F20" s="8" t="s">
        <v>19</v>
      </c>
      <c r="G20" s="11" t="s">
        <v>166</v>
      </c>
      <c r="H20" s="11" t="s">
        <v>167</v>
      </c>
      <c r="I20" s="11" t="s">
        <v>168</v>
      </c>
      <c r="J20" s="11" t="s">
        <v>169</v>
      </c>
      <c r="K20" s="11" t="s">
        <v>170</v>
      </c>
      <c r="L20" s="11" t="s">
        <v>171</v>
      </c>
      <c r="M20" s="11" t="s">
        <v>172</v>
      </c>
      <c r="N20" s="8" t="s">
        <v>79</v>
      </c>
    </row>
    <row r="21" customFormat="false" ht="57.75" hidden="false" customHeight="true" outlineLevel="0" collapsed="false">
      <c r="A21" s="4" t="n">
        <v>17</v>
      </c>
      <c r="B21" s="5" t="s">
        <v>173</v>
      </c>
      <c r="C21" s="6" t="s">
        <v>174</v>
      </c>
      <c r="D21" s="4" t="s">
        <v>175</v>
      </c>
      <c r="E21" s="4" t="s">
        <v>51</v>
      </c>
      <c r="F21" s="4" t="s">
        <v>19</v>
      </c>
      <c r="G21" s="13" t="s">
        <v>51</v>
      </c>
      <c r="H21" s="7" t="s">
        <v>176</v>
      </c>
      <c r="I21" s="7" t="s">
        <v>177</v>
      </c>
      <c r="J21" s="7" t="s">
        <v>178</v>
      </c>
      <c r="K21" s="7" t="s">
        <v>179</v>
      </c>
      <c r="L21" s="7" t="s">
        <v>180</v>
      </c>
      <c r="M21" s="7" t="s">
        <v>181</v>
      </c>
      <c r="N21" s="4" t="s">
        <v>120</v>
      </c>
    </row>
    <row r="22" customFormat="false" ht="57.75" hidden="false" customHeight="true" outlineLevel="0" collapsed="false">
      <c r="A22" s="8" t="n">
        <v>18</v>
      </c>
      <c r="B22" s="9" t="s">
        <v>182</v>
      </c>
      <c r="C22" s="10" t="s">
        <v>183</v>
      </c>
      <c r="D22" s="8" t="s">
        <v>175</v>
      </c>
      <c r="E22" s="8" t="s">
        <v>51</v>
      </c>
      <c r="F22" s="8" t="s">
        <v>92</v>
      </c>
      <c r="G22" s="12" t="s">
        <v>51</v>
      </c>
      <c r="H22" s="11" t="s">
        <v>184</v>
      </c>
      <c r="I22" s="11" t="s">
        <v>185</v>
      </c>
      <c r="J22" s="11" t="s">
        <v>186</v>
      </c>
      <c r="K22" s="11" t="s">
        <v>187</v>
      </c>
      <c r="L22" s="11" t="s">
        <v>188</v>
      </c>
      <c r="M22" s="11" t="s">
        <v>189</v>
      </c>
      <c r="N22" s="8" t="s">
        <v>120</v>
      </c>
    </row>
    <row r="23" customFormat="false" ht="57.75" hidden="false" customHeight="true" outlineLevel="0" collapsed="false">
      <c r="A23" s="4" t="n">
        <v>19</v>
      </c>
      <c r="B23" s="5" t="s">
        <v>190</v>
      </c>
      <c r="C23" s="6" t="s">
        <v>191</v>
      </c>
      <c r="D23" s="4" t="s">
        <v>71</v>
      </c>
      <c r="E23" s="4" t="s">
        <v>92</v>
      </c>
      <c r="F23" s="4" t="s">
        <v>19</v>
      </c>
      <c r="G23" s="7" t="s">
        <v>192</v>
      </c>
      <c r="H23" s="7" t="s">
        <v>193</v>
      </c>
      <c r="I23" s="7" t="s">
        <v>194</v>
      </c>
      <c r="J23" s="7" t="s">
        <v>195</v>
      </c>
      <c r="K23" s="7" t="s">
        <v>196</v>
      </c>
      <c r="L23" s="7" t="s">
        <v>197</v>
      </c>
      <c r="M23" s="7" t="s">
        <v>198</v>
      </c>
      <c r="N23" s="4" t="s">
        <v>68</v>
      </c>
    </row>
  </sheetData>
  <autoFilter ref="A4:N23"/>
  <mergeCells count="2">
    <mergeCell ref="A1:N1"/>
    <mergeCell ref="A2:N2"/>
  </mergeCells>
  <conditionalFormatting sqref="E5:F23">
    <cfRule type="cellIs" priority="2" operator="equal" aboveAverage="0" equalAverage="0" bottom="0" percent="0" rank="0" text="" dxfId="10">
      <formula>"أساسي"</formula>
    </cfRule>
    <cfRule type="cellIs" priority="3" operator="equal" aboveAverage="0" equalAverage="0" bottom="0" percent="0" rank="0" text="" dxfId="11">
      <formula>"ثانوي"</formula>
    </cfRule>
    <cfRule type="cellIs" priority="4" operator="equal" aboveAverage="0" equalAverage="0" bottom="0" percent="0" rank="0" text="" dxfId="12">
      <formula>"—"</formula>
    </cfRule>
  </conditionalFormatting>
  <dataValidations count="1">
    <dataValidation allowBlank="true" errorStyle="stop" operator="between" showDropDown="false" showErrorMessage="false" showInputMessage="false" sqref="E5:F23" type="list">
      <formula1>"أساسي,ثانوي,—"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0" min="10" style="0" width="11"/>
  </cols>
  <sheetData>
    <row r="1" customFormat="false" ht="27.75" hidden="false" customHeight="true" outlineLevel="0" collapsed="false">
      <c r="A1" s="1" t="s">
        <v>199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2" t="s">
        <v>200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3" t="s">
        <v>201</v>
      </c>
      <c r="B4" s="3" t="s">
        <v>202</v>
      </c>
      <c r="C4" s="3" t="s">
        <v>203</v>
      </c>
      <c r="D4" s="3" t="s">
        <v>204</v>
      </c>
      <c r="E4" s="3" t="s">
        <v>205</v>
      </c>
      <c r="F4" s="3" t="s">
        <v>206</v>
      </c>
      <c r="G4" s="3" t="s">
        <v>207</v>
      </c>
      <c r="H4" s="3" t="s">
        <v>208</v>
      </c>
      <c r="I4" s="3" t="s">
        <v>209</v>
      </c>
      <c r="J4" s="3" t="s">
        <v>210</v>
      </c>
    </row>
    <row r="5" customFormat="false" ht="51.75" hidden="false" customHeight="true" outlineLevel="0" collapsed="false">
      <c r="A5" s="14" t="s">
        <v>6</v>
      </c>
      <c r="B5" s="6" t="s">
        <v>211</v>
      </c>
      <c r="C5" s="7" t="s">
        <v>212</v>
      </c>
      <c r="D5" s="7" t="s">
        <v>213</v>
      </c>
      <c r="E5" s="7" t="s">
        <v>214</v>
      </c>
      <c r="F5" s="7" t="s">
        <v>215</v>
      </c>
      <c r="G5" s="4" t="s">
        <v>37</v>
      </c>
      <c r="H5" s="4" t="n">
        <f aca="false">COUNTIF('مصفوفة التقارير'!$E$5:$E$23,"أساسي")</f>
        <v>7</v>
      </c>
      <c r="I5" s="4" t="n">
        <f aca="false">COUNTIF('مصفوفة التقارير'!$E$5:$E$23,"ثانوي")</f>
        <v>7</v>
      </c>
      <c r="J5" s="15" t="n">
        <f aca="false">H5+I5</f>
        <v>14</v>
      </c>
    </row>
    <row r="6" customFormat="false" ht="51.75" hidden="false" customHeight="true" outlineLevel="0" collapsed="false">
      <c r="A6" s="16" t="s">
        <v>7</v>
      </c>
      <c r="B6" s="10" t="s">
        <v>216</v>
      </c>
      <c r="C6" s="11" t="s">
        <v>217</v>
      </c>
      <c r="D6" s="11" t="s">
        <v>218</v>
      </c>
      <c r="E6" s="11" t="s">
        <v>219</v>
      </c>
      <c r="F6" s="11" t="s">
        <v>220</v>
      </c>
      <c r="G6" s="8" t="s">
        <v>221</v>
      </c>
      <c r="H6" s="8" t="n">
        <f aca="false">COUNTIF('مصفوفة التقارير'!$F$5:$F$23,"أساسي")</f>
        <v>17</v>
      </c>
      <c r="I6" s="8" t="n">
        <f aca="false">COUNTIF('مصفوفة التقارير'!$F$5:$F$23,"ثانوي")</f>
        <v>1</v>
      </c>
      <c r="J6" s="17" t="n">
        <f aca="false">H6+I6</f>
        <v>18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1" t="s">
        <v>222</v>
      </c>
      <c r="B1" s="1"/>
      <c r="C1" s="1"/>
      <c r="D1" s="1"/>
    </row>
    <row r="2" customFormat="false" ht="24" hidden="false" customHeight="true" outlineLevel="0" collapsed="false">
      <c r="A2" s="2" t="s">
        <v>223</v>
      </c>
      <c r="B2" s="2"/>
      <c r="C2" s="2"/>
      <c r="D2" s="2"/>
    </row>
    <row r="4" customFormat="false" ht="31.5" hidden="false" customHeight="true" outlineLevel="0" collapsed="false">
      <c r="A4" s="3" t="s">
        <v>224</v>
      </c>
      <c r="B4" s="3" t="s">
        <v>225</v>
      </c>
      <c r="C4" s="3" t="s">
        <v>226</v>
      </c>
      <c r="D4" s="3" t="s">
        <v>227</v>
      </c>
    </row>
    <row r="5" customFormat="false" ht="36" hidden="false" customHeight="true" outlineLevel="0" collapsed="false">
      <c r="A5" s="5" t="s">
        <v>228</v>
      </c>
      <c r="B5" s="7" t="s">
        <v>229</v>
      </c>
      <c r="C5" s="7" t="s">
        <v>230</v>
      </c>
      <c r="D5" s="4" t="s">
        <v>231</v>
      </c>
    </row>
    <row r="6" customFormat="false" ht="36" hidden="false" customHeight="true" outlineLevel="0" collapsed="false">
      <c r="A6" s="9" t="s">
        <v>232</v>
      </c>
      <c r="B6" s="11" t="s">
        <v>233</v>
      </c>
      <c r="C6" s="11" t="s">
        <v>234</v>
      </c>
      <c r="D6" s="8" t="s">
        <v>235</v>
      </c>
    </row>
    <row r="7" customFormat="false" ht="36" hidden="false" customHeight="true" outlineLevel="0" collapsed="false">
      <c r="A7" s="5" t="s">
        <v>236</v>
      </c>
      <c r="B7" s="7" t="s">
        <v>237</v>
      </c>
      <c r="C7" s="7" t="s">
        <v>238</v>
      </c>
      <c r="D7" s="4" t="s">
        <v>239</v>
      </c>
    </row>
    <row r="8" customFormat="false" ht="36" hidden="false" customHeight="true" outlineLevel="0" collapsed="false">
      <c r="A8" s="9" t="s">
        <v>240</v>
      </c>
      <c r="B8" s="11" t="s">
        <v>241</v>
      </c>
      <c r="C8" s="11" t="s">
        <v>242</v>
      </c>
      <c r="D8" s="8" t="s">
        <v>243</v>
      </c>
    </row>
    <row r="9" customFormat="false" ht="36" hidden="false" customHeight="true" outlineLevel="0" collapsed="false">
      <c r="A9" s="5" t="s">
        <v>244</v>
      </c>
      <c r="B9" s="7" t="s">
        <v>245</v>
      </c>
      <c r="C9" s="7" t="s">
        <v>246</v>
      </c>
      <c r="D9" s="4" t="s">
        <v>247</v>
      </c>
    </row>
    <row r="10" customFormat="false" ht="36" hidden="false" customHeight="true" outlineLevel="0" collapsed="false">
      <c r="A10" s="9" t="s">
        <v>248</v>
      </c>
      <c r="B10" s="11" t="s">
        <v>249</v>
      </c>
      <c r="C10" s="11" t="s">
        <v>250</v>
      </c>
      <c r="D10" s="8" t="s">
        <v>251</v>
      </c>
    </row>
    <row r="11" customFormat="false" ht="36" hidden="false" customHeight="true" outlineLevel="0" collapsed="false">
      <c r="A11" s="5" t="s">
        <v>252</v>
      </c>
      <c r="B11" s="7" t="s">
        <v>186</v>
      </c>
      <c r="C11" s="7" t="s">
        <v>253</v>
      </c>
      <c r="D11" s="4" t="s">
        <v>254</v>
      </c>
    </row>
    <row r="12" customFormat="false" ht="36" hidden="false" customHeight="true" outlineLevel="0" collapsed="false">
      <c r="A12" s="9" t="s">
        <v>255</v>
      </c>
      <c r="B12" s="11" t="s">
        <v>256</v>
      </c>
      <c r="C12" s="11" t="s">
        <v>257</v>
      </c>
      <c r="D12" s="8" t="s">
        <v>258</v>
      </c>
    </row>
    <row r="13" customFormat="false" ht="36" hidden="false" customHeight="true" outlineLevel="0" collapsed="false">
      <c r="A13" s="5" t="s">
        <v>259</v>
      </c>
      <c r="B13" s="7" t="s">
        <v>260</v>
      </c>
      <c r="C13" s="7" t="s">
        <v>261</v>
      </c>
      <c r="D13" s="4" t="s">
        <v>262</v>
      </c>
    </row>
    <row r="14" customFormat="false" ht="36" hidden="false" customHeight="true" outlineLevel="0" collapsed="false">
      <c r="A14" s="9" t="s">
        <v>263</v>
      </c>
      <c r="B14" s="11" t="s">
        <v>264</v>
      </c>
      <c r="C14" s="11" t="s">
        <v>265</v>
      </c>
      <c r="D14" s="8" t="s">
        <v>266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13"/>
  </cols>
  <sheetData>
    <row r="1" customFormat="false" ht="27.75" hidden="false" customHeight="true" outlineLevel="0" collapsed="false">
      <c r="A1" s="1" t="s">
        <v>267</v>
      </c>
      <c r="B1" s="1"/>
      <c r="C1" s="1"/>
      <c r="D1" s="1"/>
      <c r="E1" s="1"/>
    </row>
    <row r="2" customFormat="false" ht="36" hidden="false" customHeight="true" outlineLevel="0" collapsed="false">
      <c r="A2" s="2" t="s">
        <v>268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269</v>
      </c>
      <c r="B4" s="3" t="s">
        <v>270</v>
      </c>
      <c r="C4" s="3" t="s">
        <v>271</v>
      </c>
      <c r="D4" s="3" t="s">
        <v>272</v>
      </c>
      <c r="E4" s="3" t="s">
        <v>273</v>
      </c>
    </row>
    <row r="5" customFormat="false" ht="27.75" hidden="false" customHeight="true" outlineLevel="0" collapsed="false">
      <c r="A5" s="5" t="s">
        <v>274</v>
      </c>
      <c r="B5" s="6" t="s">
        <v>275</v>
      </c>
      <c r="C5" s="7" t="s">
        <v>276</v>
      </c>
      <c r="D5" s="7" t="s">
        <v>277</v>
      </c>
      <c r="E5" s="4" t="n">
        <f aca="false">COUNTIF('مصفوفة التقارير'!$K$5:$K$23,"*"&amp;A5&amp;"*")</f>
        <v>18</v>
      </c>
    </row>
    <row r="6" customFormat="false" ht="27.75" hidden="false" customHeight="true" outlineLevel="0" collapsed="false">
      <c r="A6" s="9" t="s">
        <v>278</v>
      </c>
      <c r="B6" s="10" t="s">
        <v>279</v>
      </c>
      <c r="C6" s="11" t="s">
        <v>280</v>
      </c>
      <c r="D6" s="11" t="s">
        <v>281</v>
      </c>
      <c r="E6" s="8" t="n">
        <f aca="false">COUNTIF('مصفوفة التقارير'!$K$5:$K$23,"*"&amp;A6&amp;"*")</f>
        <v>15</v>
      </c>
    </row>
    <row r="7" customFormat="false" ht="27.75" hidden="false" customHeight="true" outlineLevel="0" collapsed="false">
      <c r="A7" s="5" t="s">
        <v>282</v>
      </c>
      <c r="B7" s="6" t="s">
        <v>283</v>
      </c>
      <c r="C7" s="7" t="s">
        <v>284</v>
      </c>
      <c r="D7" s="7" t="s">
        <v>285</v>
      </c>
      <c r="E7" s="4" t="n">
        <f aca="false">COUNTIF('مصفوفة التقارير'!$K$5:$K$23,"*"&amp;A7&amp;"*")</f>
        <v>11</v>
      </c>
    </row>
    <row r="8" customFormat="false" ht="27.75" hidden="false" customHeight="true" outlineLevel="0" collapsed="false">
      <c r="A8" s="9" t="s">
        <v>286</v>
      </c>
      <c r="B8" s="10" t="s">
        <v>287</v>
      </c>
      <c r="C8" s="11" t="s">
        <v>284</v>
      </c>
      <c r="D8" s="11" t="s">
        <v>288</v>
      </c>
      <c r="E8" s="8" t="n">
        <f aca="false">COUNTIF('مصفوفة التقارير'!$K$5:$K$23,"*"&amp;A8&amp;"*")</f>
        <v>7</v>
      </c>
    </row>
    <row r="9" customFormat="false" ht="27.75" hidden="false" customHeight="true" outlineLevel="0" collapsed="false">
      <c r="A9" s="5" t="s">
        <v>289</v>
      </c>
      <c r="B9" s="6" t="s">
        <v>290</v>
      </c>
      <c r="C9" s="7" t="s">
        <v>291</v>
      </c>
      <c r="D9" s="7" t="s">
        <v>281</v>
      </c>
      <c r="E9" s="4" t="n">
        <f aca="false">COUNTIF('مصفوفة التقارير'!$K$5:$K$23,"*"&amp;A9&amp;"*")</f>
        <v>6</v>
      </c>
    </row>
    <row r="10" customFormat="false" ht="27.75" hidden="false" customHeight="true" outlineLevel="0" collapsed="false">
      <c r="A10" s="9" t="s">
        <v>292</v>
      </c>
      <c r="B10" s="10" t="s">
        <v>293</v>
      </c>
      <c r="C10" s="11" t="s">
        <v>291</v>
      </c>
      <c r="D10" s="11" t="s">
        <v>294</v>
      </c>
      <c r="E10" s="8" t="n">
        <f aca="false">COUNTIF('مصفوفة التقارير'!$K$5:$K$23,"*"&amp;A10&amp;"*")</f>
        <v>5</v>
      </c>
    </row>
    <row r="11" customFormat="false" ht="27.75" hidden="false" customHeight="true" outlineLevel="0" collapsed="false">
      <c r="A11" s="5" t="s">
        <v>295</v>
      </c>
      <c r="B11" s="6" t="s">
        <v>296</v>
      </c>
      <c r="C11" s="7" t="s">
        <v>297</v>
      </c>
      <c r="D11" s="7" t="s">
        <v>298</v>
      </c>
      <c r="E11" s="4" t="n">
        <f aca="false">COUNTIF('مصفوفة التقارير'!$K$5:$K$23,"*"&amp;A11&amp;"*")</f>
        <v>3</v>
      </c>
    </row>
    <row r="12" customFormat="false" ht="27.75" hidden="false" customHeight="true" outlineLevel="0" collapsed="false">
      <c r="A12" s="9" t="s">
        <v>299</v>
      </c>
      <c r="B12" s="10" t="s">
        <v>300</v>
      </c>
      <c r="C12" s="11" t="s">
        <v>291</v>
      </c>
      <c r="D12" s="11" t="s">
        <v>301</v>
      </c>
      <c r="E12" s="8" t="n">
        <f aca="false">COUNTIF('مصفوفة التقارير'!$K$5:$K$23,"*"&amp;A12&amp;"*")</f>
        <v>3</v>
      </c>
    </row>
    <row r="13" customFormat="false" ht="27.75" hidden="false" customHeight="true" outlineLevel="0" collapsed="false">
      <c r="A13" s="5" t="s">
        <v>302</v>
      </c>
      <c r="B13" s="6" t="s">
        <v>303</v>
      </c>
      <c r="C13" s="7" t="s">
        <v>291</v>
      </c>
      <c r="D13" s="7" t="s">
        <v>304</v>
      </c>
      <c r="E13" s="4" t="n">
        <f aca="false">COUNTIF('مصفوفة التقارير'!$K$5:$K$23,"*"&amp;A13&amp;"*")</f>
        <v>3</v>
      </c>
    </row>
    <row r="14" customFormat="false" ht="27.75" hidden="false" customHeight="true" outlineLevel="0" collapsed="false">
      <c r="A14" s="9" t="s">
        <v>305</v>
      </c>
      <c r="B14" s="10" t="s">
        <v>306</v>
      </c>
      <c r="C14" s="11" t="s">
        <v>284</v>
      </c>
      <c r="D14" s="11" t="s">
        <v>307</v>
      </c>
      <c r="E14" s="8" t="n">
        <f aca="false">COUNTIF('مصفوفة التقارير'!$K$5:$K$23,"*"&amp;A14&amp;"*")</f>
        <v>1</v>
      </c>
    </row>
    <row r="15" customFormat="false" ht="27.75" hidden="false" customHeight="true" outlineLevel="0" collapsed="false">
      <c r="A15" s="5" t="s">
        <v>308</v>
      </c>
      <c r="B15" s="6" t="s">
        <v>309</v>
      </c>
      <c r="C15" s="7" t="s">
        <v>284</v>
      </c>
      <c r="D15" s="7" t="s">
        <v>310</v>
      </c>
      <c r="E15" s="4" t="n">
        <f aca="false">COUNTIF('مصفوفة التقارير'!$K$5:$K$23,"*"&amp;A15&amp;"*")</f>
        <v>2</v>
      </c>
    </row>
    <row r="16" customFormat="false" ht="27.75" hidden="false" customHeight="true" outlineLevel="0" collapsed="false">
      <c r="A16" s="9" t="s">
        <v>311</v>
      </c>
      <c r="B16" s="10" t="s">
        <v>312</v>
      </c>
      <c r="C16" s="11" t="s">
        <v>313</v>
      </c>
      <c r="D16" s="11"/>
      <c r="E16" s="8" t="n">
        <f aca="false">COUNTIF('مصفوفة التقارير'!$K$5:$K$23,"*"&amp;A16&amp;"*")</f>
        <v>3</v>
      </c>
    </row>
    <row r="17" customFormat="false" ht="27.75" hidden="false" customHeight="true" outlineLevel="0" collapsed="false">
      <c r="A17" s="5" t="s">
        <v>314</v>
      </c>
      <c r="B17" s="6" t="s">
        <v>315</v>
      </c>
      <c r="C17" s="7" t="s">
        <v>284</v>
      </c>
      <c r="D17" s="7" t="s">
        <v>316</v>
      </c>
      <c r="E17" s="4" t="n">
        <f aca="false">COUNTIF('مصفوفة التقارير'!$K$5:$K$23,"*"&amp;A17&amp;"*")</f>
        <v>2</v>
      </c>
    </row>
    <row r="18" customFormat="false" ht="27.75" hidden="false" customHeight="true" outlineLevel="0" collapsed="false">
      <c r="A18" s="9" t="s">
        <v>317</v>
      </c>
      <c r="B18" s="10" t="s">
        <v>318</v>
      </c>
      <c r="C18" s="11" t="s">
        <v>284</v>
      </c>
      <c r="D18" s="11"/>
      <c r="E18" s="8" t="n">
        <f aca="false">COUNTIF('مصفوفة التقارير'!$K$5:$K$23,"*"&amp;A18&amp;"*")</f>
        <v>1</v>
      </c>
    </row>
    <row r="19" customFormat="false" ht="27.75" hidden="false" customHeight="true" outlineLevel="0" collapsed="false">
      <c r="A19" s="5" t="s">
        <v>319</v>
      </c>
      <c r="B19" s="6" t="s">
        <v>320</v>
      </c>
      <c r="C19" s="7" t="s">
        <v>284</v>
      </c>
      <c r="D19" s="7"/>
      <c r="E19" s="4" t="n">
        <f aca="false">COUNTIF('مصفوفة التقارير'!$K$5:$K$23,"*"&amp;A19&amp;"*")</f>
        <v>1</v>
      </c>
    </row>
    <row r="20" customFormat="false" ht="27.75" hidden="false" customHeight="true" outlineLevel="0" collapsed="false">
      <c r="A20" s="9" t="s">
        <v>321</v>
      </c>
      <c r="B20" s="10" t="s">
        <v>322</v>
      </c>
      <c r="C20" s="11" t="s">
        <v>284</v>
      </c>
      <c r="D20" s="11"/>
      <c r="E20" s="8" t="n">
        <f aca="false">COUNTIF('مصفوفة التقارير'!$K$5:$K$23,"*"&amp;A20&amp;"*")</f>
        <v>1</v>
      </c>
    </row>
    <row r="21" customFormat="false" ht="27.75" hidden="false" customHeight="true" outlineLevel="0" collapsed="false">
      <c r="A21" s="5" t="s">
        <v>323</v>
      </c>
      <c r="B21" s="6" t="s">
        <v>324</v>
      </c>
      <c r="C21" s="7" t="s">
        <v>325</v>
      </c>
      <c r="D21" s="7" t="s">
        <v>326</v>
      </c>
      <c r="E21" s="4" t="n">
        <f aca="false">COUNTIF('مصفوفة التقارير'!$K$5:$K$23,"*"&amp;A21&amp;"*")</f>
        <v>3</v>
      </c>
    </row>
    <row r="22" customFormat="false" ht="27.75" hidden="false" customHeight="true" outlineLevel="0" collapsed="false">
      <c r="A22" s="9" t="s">
        <v>327</v>
      </c>
      <c r="B22" s="10" t="s">
        <v>328</v>
      </c>
      <c r="C22" s="11" t="s">
        <v>329</v>
      </c>
      <c r="D22" s="11" t="s">
        <v>330</v>
      </c>
      <c r="E22" s="8" t="n">
        <f aca="false">COUNTIF('مصفوفة التقارير'!$K$5:$K$23,"*"&amp;A22&amp;"*")</f>
        <v>3</v>
      </c>
    </row>
    <row r="23" customFormat="false" ht="27.75" hidden="false" customHeight="true" outlineLevel="0" collapsed="false">
      <c r="A23" s="5" t="s">
        <v>331</v>
      </c>
      <c r="B23" s="6" t="s">
        <v>332</v>
      </c>
      <c r="C23" s="7" t="s">
        <v>333</v>
      </c>
      <c r="D23" s="7" t="s">
        <v>334</v>
      </c>
      <c r="E23" s="4" t="n">
        <f aca="false">COUNTIF('مصفوفة التقارير'!$K$5:$K$23,"*"&amp;A23&amp;"*")</f>
        <v>2</v>
      </c>
    </row>
    <row r="24" customFormat="false" ht="27.75" hidden="false" customHeight="true" outlineLevel="0" collapsed="false">
      <c r="A24" s="9" t="s">
        <v>335</v>
      </c>
      <c r="B24" s="10" t="s">
        <v>336</v>
      </c>
      <c r="C24" s="11" t="s">
        <v>333</v>
      </c>
      <c r="D24" s="11" t="s">
        <v>337</v>
      </c>
      <c r="E24" s="8" t="n">
        <f aca="false">COUNTIF('مصفوفة التقارير'!$K$5:$K$23,"*"&amp;A24&amp;"*")</f>
        <v>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2026-10-31T18:57:53Z</dcterms:created>
  <dc:creator>openpyxl</dc:creator>
  <dc:description/>
  <dc:language>en-US</dc:language>
  <cp:lastModifiedBy/>
  <dcterms:modified xsi:type="dcterms:W3CDTF">2026-10-31T18:57:53Z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